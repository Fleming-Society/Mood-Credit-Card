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liveuclac.sharepoint.com/sites/FlemingSociety2024-25/Shared Documents/Projects/001_project_proposal/project_x/"/>
    </mc:Choice>
  </mc:AlternateContent>
  <xr:revisionPtr revIDLastSave="142" documentId="11_6F8F82F05C133CD008B2E049F2EEF6176EFF589C" xr6:coauthVersionLast="47" xr6:coauthVersionMax="47" xr10:uidLastSave="{681E1806-4439-43DB-8AE6-1ACD5EB888C2}"/>
  <bookViews>
    <workbookView xWindow="-110" yWindow="-110" windowWidth="25820" windowHeight="14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10" i="1"/>
  <c r="H11" i="1"/>
  <c r="H12" i="1"/>
  <c r="H13" i="1"/>
  <c r="H14" i="1"/>
  <c r="H2" i="1"/>
  <c r="I9" i="1" l="1"/>
</calcChain>
</file>

<file path=xl/sharedStrings.xml><?xml version="1.0" encoding="utf-8"?>
<sst xmlns="http://schemas.openxmlformats.org/spreadsheetml/2006/main" count="46" uniqueCount="44">
  <si>
    <t>#</t>
  </si>
  <si>
    <t>Date</t>
  </si>
  <si>
    <t>Item</t>
  </si>
  <si>
    <t>Description</t>
  </si>
  <si>
    <t>Qty (tot)</t>
  </si>
  <si>
    <t>Qty (order)</t>
  </si>
  <si>
    <t>Price (Each)</t>
  </si>
  <si>
    <t xml:space="preserve">Price (Total) </t>
  </si>
  <si>
    <t>Proposed by</t>
  </si>
  <si>
    <t>Link</t>
  </si>
  <si>
    <t>Approved by (committee member)</t>
  </si>
  <si>
    <t>Ordering Info</t>
  </si>
  <si>
    <t>29/10/2024</t>
  </si>
  <si>
    <t>ESP32 C3 super mini</t>
  </si>
  <si>
    <t>MCU used for the Project X, buying 40 extra in case it broke</t>
  </si>
  <si>
    <t>20 x 5pcs/order</t>
  </si>
  <si>
    <t xml:space="preserve">https://a.aliexpress.com/_EGGhkAV </t>
  </si>
  <si>
    <t>29/10/2025</t>
  </si>
  <si>
    <t>Pulseoximetry sensor (MAX30102)</t>
  </si>
  <si>
    <t>Sensor used for the Project X, buying 20 extra in case it broke</t>
  </si>
  <si>
    <t>100 x 1pcs/order</t>
  </si>
  <si>
    <t xml:space="preserve">https://a.aliexpress.com/_EIkHf9r </t>
  </si>
  <si>
    <t>29/10/2026</t>
  </si>
  <si>
    <t>Battery holder</t>
  </si>
  <si>
    <t>Big and Ugly, 2 needed for each board, buying 20 extra</t>
  </si>
  <si>
    <t>14 x 10pcs/order</t>
  </si>
  <si>
    <t>https://www.aliexpress.com/item/1005007494224718.html</t>
  </si>
  <si>
    <t>29/10/2027</t>
  </si>
  <si>
    <t>Coin cell battery</t>
  </si>
  <si>
    <t>3 V, 2 needed for each board, buying ~40 extra</t>
  </si>
  <si>
    <t>13 x 12pcs/order</t>
  </si>
  <si>
    <t>https://www.batterystation.co.uk/energizer-cr2032-coin-cell-3v-lithium-batteries-12-pack/</t>
  </si>
  <si>
    <t>29/10/2028</t>
  </si>
  <si>
    <t>Switch</t>
  </si>
  <si>
    <t>SMT side mount, for turning on/off the battery</t>
  </si>
  <si>
    <t>8 x 10pcs/order</t>
  </si>
  <si>
    <t>https://www.aliexpress.us/item/1005005881790558.html</t>
  </si>
  <si>
    <t>220R resistor</t>
  </si>
  <si>
    <t>For Project X, updated 25/11</t>
  </si>
  <si>
    <t>N/A</t>
  </si>
  <si>
    <t>TE Connectivity 220Ω, 0805 (2012M) Thick Film SMD Resistor ±5% 0.33W - CRGH0805J220R | RS</t>
  </si>
  <si>
    <t>yellow LED</t>
  </si>
  <si>
    <t>Lite-On2.6 V Yellow LED 2012 (0805) SMD, CHIP LED 0805 LTST-C170YKT | 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</si>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</sst>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1" fillId="0" borderId="0" xfId="1"/>
    <xf numFmtId="0" fontId="3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7494224718.html" TargetMode="External"/><Relationship Id="rId7" Type="http://schemas.openxmlformats.org/officeDocument/2006/relationships/hyperlink" Target="https://uk.rs-online.com/web/p/leds/6920925P" TargetMode="External"/><Relationship Id="rId2" Type="http://schemas.openxmlformats.org/officeDocument/2006/relationships/hyperlink" Target="https://a.aliexpress.com/_EGGhkAV" TargetMode="External"/><Relationship Id="rId1" Type="http://schemas.openxmlformats.org/officeDocument/2006/relationships/hyperlink" Target="https://a.aliexpress.com/_EIkHf9r" TargetMode="External"/><Relationship Id="rId6" Type="http://schemas.openxmlformats.org/officeDocument/2006/relationships/hyperlink" Target="https://uk.rs-online.com/web/p/surface-mount-resistors/8075743" TargetMode="External"/><Relationship Id="rId5" Type="http://schemas.openxmlformats.org/officeDocument/2006/relationships/hyperlink" Target="https://www.aliexpress.us/item/1005005881790558.html" TargetMode="External"/><Relationship Id="rId4" Type="http://schemas.openxmlformats.org/officeDocument/2006/relationships/hyperlink" Target="https://www.batterystation.co.uk/energizer-cr2032-coin-cell-3v-lithium-batteries-12-p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24" sqref="D24"/>
    </sheetView>
  </sheetViews>
  <sheetFormatPr defaultRowHeight="14.45"/>
  <cols>
    <col min="1" max="1" width="2.28515625" bestFit="1" customWidth="1"/>
    <col min="2" max="2" width="11.140625" bestFit="1" customWidth="1"/>
    <col min="3" max="3" width="28.5703125" bestFit="1" customWidth="1"/>
    <col min="4" max="4" width="53.85546875" bestFit="1" customWidth="1"/>
    <col min="6" max="6" width="15.5703125" bestFit="1" customWidth="1"/>
    <col min="7" max="7" width="11.7109375" bestFit="1" customWidth="1"/>
    <col min="8" max="8" width="12.140625" bestFit="1" customWidth="1"/>
    <col min="10" max="10" width="81" bestFit="1" customWidth="1"/>
    <col min="11" max="11" width="32" bestFit="1" customWidth="1"/>
    <col min="12" max="12" width="12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100</v>
      </c>
      <c r="F2" t="s">
        <v>15</v>
      </c>
      <c r="G2">
        <v>1.258</v>
      </c>
      <c r="H2">
        <f>E2*G2</f>
        <v>125.8</v>
      </c>
      <c r="J2" s="2" t="s">
        <v>16</v>
      </c>
    </row>
    <row r="3" spans="1:12" ht="15">
      <c r="A3">
        <v>2</v>
      </c>
      <c r="B3" t="s">
        <v>17</v>
      </c>
      <c r="C3" t="s">
        <v>18</v>
      </c>
      <c r="D3" t="s">
        <v>19</v>
      </c>
      <c r="E3">
        <v>100</v>
      </c>
      <c r="F3" t="s">
        <v>20</v>
      </c>
      <c r="G3">
        <v>0.88</v>
      </c>
      <c r="H3">
        <f t="shared" ref="H3:H14" si="0">E3*G3</f>
        <v>88</v>
      </c>
      <c r="J3" s="2" t="s">
        <v>21</v>
      </c>
    </row>
    <row r="4" spans="1:12">
      <c r="A4">
        <v>3</v>
      </c>
      <c r="B4" t="s">
        <v>22</v>
      </c>
      <c r="C4" t="s">
        <v>23</v>
      </c>
      <c r="D4" t="s">
        <v>24</v>
      </c>
      <c r="E4">
        <v>140</v>
      </c>
      <c r="F4" t="s">
        <v>25</v>
      </c>
      <c r="G4">
        <v>5.0999999999999997E-2</v>
      </c>
      <c r="H4">
        <f t="shared" si="0"/>
        <v>7.14</v>
      </c>
      <c r="J4" s="2" t="s">
        <v>26</v>
      </c>
    </row>
    <row r="5" spans="1:12" ht="15">
      <c r="A5">
        <v>4</v>
      </c>
      <c r="B5" t="s">
        <v>27</v>
      </c>
      <c r="C5" t="s">
        <v>28</v>
      </c>
      <c r="D5" t="s">
        <v>29</v>
      </c>
      <c r="E5">
        <v>156</v>
      </c>
      <c r="F5" t="s">
        <v>30</v>
      </c>
      <c r="G5">
        <v>0.40400000000000003</v>
      </c>
      <c r="H5">
        <f t="shared" si="0"/>
        <v>63.024000000000001</v>
      </c>
      <c r="J5" s="2" t="s">
        <v>31</v>
      </c>
    </row>
    <row r="6" spans="1:12">
      <c r="A6">
        <v>5</v>
      </c>
      <c r="B6" t="s">
        <v>32</v>
      </c>
      <c r="C6" t="s">
        <v>33</v>
      </c>
      <c r="D6" t="s">
        <v>34</v>
      </c>
      <c r="E6">
        <v>80</v>
      </c>
      <c r="F6" t="s">
        <v>35</v>
      </c>
      <c r="G6">
        <v>5.8000000000000003E-2</v>
      </c>
      <c r="H6">
        <f t="shared" si="0"/>
        <v>4.6400000000000006</v>
      </c>
      <c r="J6" s="2" t="s">
        <v>36</v>
      </c>
    </row>
    <row r="7" spans="1:12" ht="15">
      <c r="B7" s="4">
        <v>45621</v>
      </c>
      <c r="C7" t="s">
        <v>37</v>
      </c>
      <c r="D7" t="s">
        <v>38</v>
      </c>
      <c r="E7">
        <v>400</v>
      </c>
      <c r="G7" t="s">
        <v>39</v>
      </c>
      <c r="H7">
        <v>2.5</v>
      </c>
      <c r="J7" s="2" t="s">
        <v>40</v>
      </c>
    </row>
    <row r="8" spans="1:12" ht="15">
      <c r="B8" s="4">
        <v>45621</v>
      </c>
      <c r="C8" t="s">
        <v>41</v>
      </c>
      <c r="D8" s="3" t="s">
        <v>38</v>
      </c>
      <c r="E8">
        <v>400</v>
      </c>
      <c r="G8" t="s">
        <v>39</v>
      </c>
      <c r="H8">
        <v>16</v>
      </c>
      <c r="J8" s="2" t="s">
        <v>42</v>
      </c>
    </row>
    <row r="9" spans="1:12">
      <c r="H9" t="s">
        <v>43</v>
      </c>
      <c r="I9">
        <f>SUM(H:H)</f>
        <v>307.10399999999998</v>
      </c>
    </row>
    <row r="10" spans="1:12">
      <c r="H10">
        <f t="shared" si="0"/>
        <v>0</v>
      </c>
    </row>
    <row r="11" spans="1:12">
      <c r="H11">
        <f t="shared" si="0"/>
        <v>0</v>
      </c>
    </row>
    <row r="12" spans="1:12">
      <c r="H12">
        <f t="shared" si="0"/>
        <v>0</v>
      </c>
    </row>
    <row r="13" spans="1:12">
      <c r="H13">
        <f t="shared" si="0"/>
        <v>0</v>
      </c>
    </row>
    <row r="14" spans="1:12">
      <c r="H14">
        <f t="shared" si="0"/>
        <v>0</v>
      </c>
    </row>
  </sheetData>
  <hyperlinks>
    <hyperlink ref="J3" r:id="rId1" xr:uid="{D16F5487-07C8-47FC-8C89-1B28A88078BB}"/>
    <hyperlink ref="J2" r:id="rId2" xr:uid="{AB253C39-7FC1-48BA-8E73-C4DD05ABBCA5}"/>
    <hyperlink ref="J4" r:id="rId3" xr:uid="{FF444A3D-CE4B-4031-9731-795095238ACA}"/>
    <hyperlink ref="J5" r:id="rId4" xr:uid="{BBDD068B-5DBF-4702-9107-9623B6111EF2}"/>
    <hyperlink ref="J6" r:id="rId5" xr:uid="{1EA64E35-D92F-4FE5-B4D7-FC1F5BAF3536}"/>
    <hyperlink ref="J7" r:id="rId6" xr:uid="{6193EA3D-9126-41BE-9E59-F4086EC10813}"/>
    <hyperlink ref="J8" r:id="rId7" xr:uid="{00EA3B9B-A2F5-4A6E-8E76-F2F3B9EB34B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56C826A73D644851C7C3F1A1566D7" ma:contentTypeVersion="12" ma:contentTypeDescription="Create a new document." ma:contentTypeScope="" ma:versionID="0e32e25a94baf5cb2c7b4d6c6e81aa50">
  <xsd:schema xmlns:xsd="http://www.w3.org/2001/XMLSchema" xmlns:xs="http://www.w3.org/2001/XMLSchema" xmlns:p="http://schemas.microsoft.com/office/2006/metadata/properties" xmlns:ns2="3b0b8f64-f3a1-45b4-b7c1-3a1c12a53132" xmlns:ns3="42defbfe-cf8e-4947-8357-3602af44915c" targetNamespace="http://schemas.microsoft.com/office/2006/metadata/properties" ma:root="true" ma:fieldsID="81bebf1bf880784de90c2e0b7be7fb8c" ns2:_="" ns3:_="">
    <xsd:import namespace="3b0b8f64-f3a1-45b4-b7c1-3a1c12a53132"/>
    <xsd:import namespace="42defbfe-cf8e-4947-8357-3602af4491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b8f64-f3a1-45b4-b7c1-3a1c12a5313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efbfe-cf8e-4947-8357-3602af4491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61c0958-40b6-49bc-8237-179ec6836e34}" ma:internalName="TaxCatchAll" ma:showField="CatchAllData" ma:web="42defbfe-cf8e-4947-8357-3602af4491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defbfe-cf8e-4947-8357-3602af44915c" xsi:nil="true"/>
    <lcf76f155ced4ddcb4097134ff3c332f xmlns="3b0b8f64-f3a1-45b4-b7c1-3a1c12a531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D1139-5264-41E9-AE4A-BCD56601AD14}"/>
</file>

<file path=customXml/itemProps2.xml><?xml version="1.0" encoding="utf-8"?>
<ds:datastoreItem xmlns:ds="http://schemas.openxmlformats.org/officeDocument/2006/customXml" ds:itemID="{C1EB3945-6145-4379-B1CF-009E55F84638}"/>
</file>

<file path=customXml/itemProps3.xml><?xml version="1.0" encoding="utf-8"?>
<ds:datastoreItem xmlns:ds="http://schemas.openxmlformats.org/officeDocument/2006/customXml" ds:itemID="{BC0B78ED-14C3-4F7C-B1E3-9133E26AD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Sharratt, Oli</cp:lastModifiedBy>
  <cp:revision/>
  <dcterms:created xsi:type="dcterms:W3CDTF">2024-10-29T19:54:03Z</dcterms:created>
  <dcterms:modified xsi:type="dcterms:W3CDTF">2024-12-03T12:38:31Z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0x010100FBA56C826A73D644851C7C3F1A1566D7</vt:lpwstr>
  </property>
  <property fmtid="{D5CDD505-2E9C-101B-9397-08002B2CF9AE}" pid="3" name="MediaServiceImageTags">
    <vt:lpwstr/>
  </property>
</Properties>
</file>